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tuartreeves/Desktop/"/>
    </mc:Choice>
  </mc:AlternateContent>
  <xr:revisionPtr revIDLastSave="0" documentId="13_ncr:1_{DF4DF3BF-3371-D344-A621-61A8EFE0B759}" xr6:coauthVersionLast="47" xr6:coauthVersionMax="47" xr10:uidLastSave="{00000000-0000-0000-0000-000000000000}"/>
  <bookViews>
    <workbookView xWindow="0" yWindow="660" windowWidth="30240" windowHeight="16720" xr2:uid="{5122F6DA-EC15-8E49-9F96-9F9FF7342E8D}"/>
  </bookViews>
  <sheets>
    <sheet name="Beyond Reach" sheetId="2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2" l="1"/>
  <c r="N36" i="2"/>
  <c r="M37" i="2"/>
  <c r="N37" i="2"/>
  <c r="M38" i="2"/>
  <c r="N38" i="2"/>
  <c r="M39" i="2"/>
  <c r="N39" i="2"/>
  <c r="M40" i="2"/>
  <c r="N40" i="2"/>
  <c r="L36" i="2"/>
  <c r="L37" i="2"/>
  <c r="L38" i="2"/>
  <c r="L39" i="2"/>
  <c r="L40" i="2"/>
  <c r="L29" i="2"/>
  <c r="M29" i="2"/>
  <c r="N29" i="2"/>
  <c r="L30" i="2"/>
  <c r="M30" i="2"/>
  <c r="N30" i="2"/>
  <c r="L31" i="2"/>
  <c r="M31" i="2"/>
  <c r="N31" i="2"/>
  <c r="L32" i="2"/>
  <c r="M32" i="2"/>
  <c r="N32" i="2"/>
  <c r="L33" i="2"/>
  <c r="M33" i="2"/>
  <c r="N33" i="2"/>
  <c r="L34" i="2"/>
  <c r="M34" i="2"/>
  <c r="N34" i="2"/>
  <c r="L35" i="2"/>
  <c r="M35" i="2"/>
  <c r="N35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M22" i="2"/>
  <c r="N22" i="2"/>
  <c r="L22" i="2"/>
  <c r="N23" i="2"/>
  <c r="M23" i="2"/>
  <c r="L23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M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L4" i="2"/>
</calcChain>
</file>

<file path=xl/sharedStrings.xml><?xml version="1.0" encoding="utf-8"?>
<sst xmlns="http://schemas.openxmlformats.org/spreadsheetml/2006/main" count="91" uniqueCount="74">
  <si>
    <t>Internal Title</t>
  </si>
  <si>
    <t>Benchmark Title</t>
  </si>
  <si>
    <t>Cedar Rapids, IA</t>
  </si>
  <si>
    <t>United States</t>
  </si>
  <si>
    <t>Market OTE Bonus %</t>
  </si>
  <si>
    <t>Current Compensation</t>
  </si>
  <si>
    <t>OTE Earnings - Mid Cedar Rapids</t>
  </si>
  <si>
    <t>Compa-Ratio - Base Only</t>
  </si>
  <si>
    <t>&lt;25 FTE - $18M Revenue - Telecom (Wholesale Connectivity)</t>
  </si>
  <si>
    <t>Min</t>
  </si>
  <si>
    <t>Mid</t>
  </si>
  <si>
    <t>Max</t>
  </si>
  <si>
    <t>Cedar Rapids</t>
  </si>
  <si>
    <t>US</t>
  </si>
  <si>
    <t>Network Engineer</t>
  </si>
  <si>
    <t>Network Engineer II</t>
  </si>
  <si>
    <t>Director of New Sales</t>
  </si>
  <si>
    <t>Sales Director</t>
  </si>
  <si>
    <t>Director of Channel Sales</t>
  </si>
  <si>
    <t>Client Success Specialist</t>
  </si>
  <si>
    <t>Customer Success Associate II</t>
  </si>
  <si>
    <t>Junior Network Administrator</t>
  </si>
  <si>
    <t>Network Administrator I</t>
  </si>
  <si>
    <t>NOC Technician I</t>
  </si>
  <si>
    <t>Network Control Tech. I</t>
  </si>
  <si>
    <t>NOC Technician II</t>
  </si>
  <si>
    <t>Network Control Tech. II</t>
  </si>
  <si>
    <t>Pricing Manager</t>
  </si>
  <si>
    <t>Competitive Pricing Manager</t>
  </si>
  <si>
    <t>Service Delivery Coordinator I</t>
  </si>
  <si>
    <t>IT Project Manager I</t>
  </si>
  <si>
    <t>Service Delivery Coordinator II</t>
  </si>
  <si>
    <t>IT Project Manager II</t>
  </si>
  <si>
    <t>Service Delivery Coordinator III</t>
  </si>
  <si>
    <t>IT Project Manager III</t>
  </si>
  <si>
    <t>Sales Enablement Specialist</t>
  </si>
  <si>
    <t>Sales Enablement Specialist II</t>
  </si>
  <si>
    <t>Technical Business Analyst</t>
  </si>
  <si>
    <t>Business Data Analyst II</t>
  </si>
  <si>
    <t>Sr. Software Developer</t>
  </si>
  <si>
    <t>Software Systems Developer III</t>
  </si>
  <si>
    <t>Wireless Network Engineer</t>
  </si>
  <si>
    <t>Telecommunications Engineer III</t>
  </si>
  <si>
    <t>Software Engineering Manager</t>
  </si>
  <si>
    <t>Service Delivery Project Manager</t>
  </si>
  <si>
    <t>IT Project Manager IV</t>
  </si>
  <si>
    <t>Strategic Vendor and Partnerships Spec.</t>
  </si>
  <si>
    <t>Partnership Bus Dev. Supervisor</t>
  </si>
  <si>
    <t>Senior Wireless Network Engineer</t>
  </si>
  <si>
    <t>Telecommunications Engineer IV</t>
  </si>
  <si>
    <t>NOC Lead</t>
  </si>
  <si>
    <t>Network Control Tech III</t>
  </si>
  <si>
    <t>Project Technician</t>
  </si>
  <si>
    <t>Project Engineering Tech II</t>
  </si>
  <si>
    <t>Director of Wholesale (Pembroke Pines, FL)**</t>
  </si>
  <si>
    <t>Channel Sales Director</t>
  </si>
  <si>
    <t>Senior IT Support Analyst</t>
  </si>
  <si>
    <t>Help Desk Support Specialist III</t>
  </si>
  <si>
    <t>Senior Infrastructure Administrator</t>
  </si>
  <si>
    <t>Systems Administrator III</t>
  </si>
  <si>
    <t>Infrastructure Engineer</t>
  </si>
  <si>
    <t>Enterprise Infrastructure Architect II</t>
  </si>
  <si>
    <t>Director of Human Resources</t>
  </si>
  <si>
    <t>Human Resources Manager</t>
  </si>
  <si>
    <t>HR Business Partner I (0-2 years)</t>
  </si>
  <si>
    <t>HR Business Partner II (2-4 years)</t>
  </si>
  <si>
    <t>HR Business Partner III (4-7 years)</t>
  </si>
  <si>
    <t>HR Business Partner IV (7+ years)</t>
  </si>
  <si>
    <t>HR Business Partner V (10+ years)</t>
  </si>
  <si>
    <t>Chief Executive Officer</t>
  </si>
  <si>
    <t>Chief Operating Officer</t>
  </si>
  <si>
    <t>Chief Innovation Officer</t>
  </si>
  <si>
    <t>Chief People Officer</t>
  </si>
  <si>
    <t>Chief Growth (Revenue)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</si>
</sst>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Arial"/>
      <family val="2"/>
    </font>
    <font>
      <b/>
      <u/>
      <sz val="11"/>
      <color rgb="FF000000"/>
      <name val="Calibri"/>
      <family val="2"/>
    </font>
    <font>
      <b/>
      <i/>
      <sz val="11"/>
      <color rgb="FFFF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7" fillId="0" borderId="2" xfId="0" applyNumberFormat="1" applyFont="1" applyBorder="1" applyAlignment="1">
      <alignment horizontal="center"/>
    </xf>
    <xf numFmtId="0" fontId="8" fillId="0" borderId="0" xfId="0" applyFont="1"/>
    <xf numFmtId="2" fontId="8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10" fontId="0" fillId="0" borderId="2" xfId="0" applyNumberFormat="1" applyBorder="1" applyAlignment="1">
      <alignment horizontal="center"/>
    </xf>
    <xf numFmtId="6" fontId="0" fillId="0" borderId="2" xfId="0" applyNumberFormat="1" applyBorder="1" applyAlignment="1">
      <alignment horizontal="center"/>
    </xf>
    <xf numFmtId="0" fontId="8" fillId="4" borderId="2" xfId="0" applyFont="1" applyFill="1" applyBorder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6" fontId="13" fillId="0" borderId="2" xfId="0" applyNumberFormat="1" applyFont="1" applyBorder="1"/>
    <xf numFmtId="0" fontId="12" fillId="0" borderId="2" xfId="0" applyFont="1" applyFill="1" applyBorder="1"/>
    <xf numFmtId="0" fontId="13" fillId="0" borderId="2" xfId="0" applyFont="1" applyFill="1" applyBorder="1"/>
    <xf numFmtId="9" fontId="13" fillId="0" borderId="2" xfId="0" applyNumberFormat="1" applyFont="1" applyBorder="1" applyAlignment="1">
      <alignment horizontal="center"/>
    </xf>
    <xf numFmtId="0" fontId="9" fillId="0" borderId="2" xfId="0" applyFont="1" applyBorder="1"/>
    <xf numFmtId="0" fontId="8" fillId="0" borderId="2" xfId="0" applyFont="1" applyBorder="1"/>
    <xf numFmtId="6" fontId="8" fillId="0" borderId="2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11" fillId="0" borderId="2" xfId="0" applyFont="1" applyBorder="1"/>
    <xf numFmtId="0" fontId="0" fillId="4" borderId="2" xfId="0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B812-A318-D540-8978-9131FE295223}">
  <dimension ref="A1:N40"/>
  <sheetViews>
    <sheetView tabSelected="1" workbookViewId="0">
      <selection activeCell="I14" sqref="I14"/>
    </sheetView>
  </sheetViews>
  <sheetFormatPr baseColWidth="10" defaultColWidth="11" defaultRowHeight="16" x14ac:dyDescent="0.2"/>
  <cols>
    <col min="1" max="1" width="39.6640625" bestFit="1" customWidth="1"/>
    <col min="2" max="2" width="28.33203125" bestFit="1" customWidth="1"/>
    <col min="6" max="6" width="4.83203125" customWidth="1"/>
    <col min="10" max="10" width="12.5" customWidth="1"/>
    <col min="11" max="11" width="13.1640625" customWidth="1"/>
    <col min="12" max="12" width="13.5" customWidth="1"/>
    <col min="13" max="13" width="12.6640625" bestFit="1" customWidth="1"/>
  </cols>
  <sheetData>
    <row r="1" spans="1:14" ht="51" x14ac:dyDescent="0.2">
      <c r="A1" s="1" t="s">
        <v>0</v>
      </c>
      <c r="B1" s="1" t="s">
        <v>1</v>
      </c>
      <c r="C1" s="17" t="s">
        <v>2</v>
      </c>
      <c r="D1" s="17"/>
      <c r="E1" s="17"/>
      <c r="F1" s="2"/>
      <c r="G1" s="17" t="s">
        <v>3</v>
      </c>
      <c r="H1" s="17"/>
      <c r="I1" s="17"/>
      <c r="J1" s="3" t="s">
        <v>4</v>
      </c>
      <c r="K1" s="8" t="s">
        <v>5</v>
      </c>
      <c r="L1" s="3" t="s">
        <v>6</v>
      </c>
      <c r="M1" s="17" t="s">
        <v>7</v>
      </c>
      <c r="N1" s="17"/>
    </row>
    <row r="2" spans="1:14" x14ac:dyDescent="0.2">
      <c r="A2" s="18" t="s">
        <v>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2">
      <c r="A3" s="4"/>
      <c r="B3" s="4"/>
      <c r="C3" s="5" t="s">
        <v>9</v>
      </c>
      <c r="D3" s="5" t="s">
        <v>10</v>
      </c>
      <c r="E3" s="5" t="s">
        <v>11</v>
      </c>
      <c r="F3" s="6"/>
      <c r="G3" s="5" t="s">
        <v>9</v>
      </c>
      <c r="H3" s="5" t="s">
        <v>10</v>
      </c>
      <c r="I3" s="5" t="s">
        <v>11</v>
      </c>
      <c r="J3" s="7"/>
      <c r="K3" s="7"/>
      <c r="L3" s="7"/>
      <c r="M3" s="5" t="s">
        <v>12</v>
      </c>
      <c r="N3" s="5" t="s">
        <v>13</v>
      </c>
    </row>
    <row r="4" spans="1:14" s="10" customFormat="1" x14ac:dyDescent="0.2">
      <c r="A4" s="24" t="s">
        <v>14</v>
      </c>
      <c r="B4" s="25" t="s">
        <v>15</v>
      </c>
      <c r="C4" s="26">
        <v>82200</v>
      </c>
      <c r="D4" s="26">
        <v>89500</v>
      </c>
      <c r="E4" s="26">
        <v>98000</v>
      </c>
      <c r="F4" s="16"/>
      <c r="G4" s="26">
        <v>84500</v>
      </c>
      <c r="H4" s="26">
        <v>92000</v>
      </c>
      <c r="I4" s="26">
        <v>100700</v>
      </c>
      <c r="J4" s="27">
        <v>8.7999999999999995E-2</v>
      </c>
      <c r="K4" s="26">
        <v>90300</v>
      </c>
      <c r="L4" s="26">
        <f>(D4*(J4+1))</f>
        <v>97376</v>
      </c>
      <c r="M4" s="9">
        <f>K4/D4</f>
        <v>1.0089385474860335</v>
      </c>
      <c r="N4" s="11">
        <f>K4/H4</f>
        <v>0.98152173913043483</v>
      </c>
    </row>
    <row r="5" spans="1:14" s="10" customFormat="1" x14ac:dyDescent="0.2">
      <c r="A5" s="24" t="s">
        <v>16</v>
      </c>
      <c r="B5" s="25" t="s">
        <v>17</v>
      </c>
      <c r="C5" s="26">
        <v>167400</v>
      </c>
      <c r="D5" s="26">
        <v>191700</v>
      </c>
      <c r="E5" s="26">
        <v>219800</v>
      </c>
      <c r="F5" s="16"/>
      <c r="G5" s="26">
        <v>171800</v>
      </c>
      <c r="H5" s="26">
        <v>196700</v>
      </c>
      <c r="I5" s="26">
        <v>225600</v>
      </c>
      <c r="J5" s="27">
        <v>0.21</v>
      </c>
      <c r="K5" s="26">
        <v>194300</v>
      </c>
      <c r="L5" s="26">
        <f t="shared" ref="L5:L22" si="0">(D5*(J5+1))</f>
        <v>231957</v>
      </c>
      <c r="M5" s="9">
        <f t="shared" ref="M5:M25" si="1">K5/D5</f>
        <v>1.0135628586332812</v>
      </c>
      <c r="N5" s="11">
        <f t="shared" ref="N5:N25" si="2">K5/H5</f>
        <v>0.98779867819013722</v>
      </c>
    </row>
    <row r="6" spans="1:14" s="10" customFormat="1" x14ac:dyDescent="0.2">
      <c r="A6" s="24" t="s">
        <v>18</v>
      </c>
      <c r="B6" s="25" t="s">
        <v>18</v>
      </c>
      <c r="C6" s="26">
        <v>135600</v>
      </c>
      <c r="D6" s="26">
        <v>151600</v>
      </c>
      <c r="E6" s="26">
        <v>168600</v>
      </c>
      <c r="F6" s="16"/>
      <c r="G6" s="26">
        <v>137500</v>
      </c>
      <c r="H6" s="26">
        <v>153700</v>
      </c>
      <c r="I6" s="26">
        <v>171000</v>
      </c>
      <c r="J6" s="27">
        <v>0.18</v>
      </c>
      <c r="K6" s="26">
        <v>151500</v>
      </c>
      <c r="L6" s="26">
        <f t="shared" si="0"/>
        <v>178888</v>
      </c>
      <c r="M6" s="9">
        <f t="shared" si="1"/>
        <v>0.99934036939313986</v>
      </c>
      <c r="N6" s="11">
        <f t="shared" si="2"/>
        <v>0.98568640208197789</v>
      </c>
    </row>
    <row r="7" spans="1:14" s="10" customFormat="1" x14ac:dyDescent="0.2">
      <c r="A7" s="24" t="s">
        <v>19</v>
      </c>
      <c r="B7" s="25" t="s">
        <v>20</v>
      </c>
      <c r="C7" s="26">
        <v>64800</v>
      </c>
      <c r="D7" s="26">
        <v>73800</v>
      </c>
      <c r="E7" s="26">
        <v>83900</v>
      </c>
      <c r="F7" s="16"/>
      <c r="G7" s="26">
        <v>66700</v>
      </c>
      <c r="H7" s="26">
        <v>75900</v>
      </c>
      <c r="I7" s="26">
        <v>86300</v>
      </c>
      <c r="J7" s="27">
        <v>7.6999999999999999E-2</v>
      </c>
      <c r="K7" s="26">
        <v>74700</v>
      </c>
      <c r="L7" s="26">
        <f t="shared" si="0"/>
        <v>79482.599999999991</v>
      </c>
      <c r="M7" s="9">
        <f t="shared" si="1"/>
        <v>1.0121951219512195</v>
      </c>
      <c r="N7" s="11">
        <f t="shared" si="2"/>
        <v>0.98418972332015808</v>
      </c>
    </row>
    <row r="8" spans="1:14" s="10" customFormat="1" x14ac:dyDescent="0.2">
      <c r="A8" s="24" t="s">
        <v>21</v>
      </c>
      <c r="B8" s="25" t="s">
        <v>22</v>
      </c>
      <c r="C8" s="26">
        <v>63400</v>
      </c>
      <c r="D8" s="26">
        <v>70000</v>
      </c>
      <c r="E8" s="26">
        <v>77600</v>
      </c>
      <c r="F8" s="16"/>
      <c r="G8" s="26">
        <v>65200</v>
      </c>
      <c r="H8" s="26">
        <v>72000</v>
      </c>
      <c r="I8" s="26">
        <v>79800</v>
      </c>
      <c r="J8" s="27">
        <v>0.06</v>
      </c>
      <c r="K8" s="26">
        <v>71100</v>
      </c>
      <c r="L8" s="26">
        <f t="shared" si="0"/>
        <v>74200</v>
      </c>
      <c r="M8" s="9">
        <f t="shared" si="1"/>
        <v>1.0157142857142858</v>
      </c>
      <c r="N8" s="11">
        <f t="shared" si="2"/>
        <v>0.98750000000000004</v>
      </c>
    </row>
    <row r="9" spans="1:14" s="10" customFormat="1" x14ac:dyDescent="0.2">
      <c r="A9" s="24" t="s">
        <v>23</v>
      </c>
      <c r="B9" s="25" t="s">
        <v>24</v>
      </c>
      <c r="C9" s="26">
        <v>57300</v>
      </c>
      <c r="D9" s="26">
        <v>64800</v>
      </c>
      <c r="E9" s="26">
        <v>73600</v>
      </c>
      <c r="F9" s="16"/>
      <c r="G9" s="26">
        <v>59000</v>
      </c>
      <c r="H9" s="26">
        <v>66700</v>
      </c>
      <c r="I9" s="26">
        <v>75800</v>
      </c>
      <c r="J9" s="27">
        <v>6.3E-2</v>
      </c>
      <c r="K9" s="26">
        <v>66300</v>
      </c>
      <c r="L9" s="26">
        <f t="shared" si="0"/>
        <v>68882.399999999994</v>
      </c>
      <c r="M9" s="9">
        <f t="shared" si="1"/>
        <v>1.0231481481481481</v>
      </c>
      <c r="N9" s="11">
        <f t="shared" si="2"/>
        <v>0.99400299850074958</v>
      </c>
    </row>
    <row r="10" spans="1:14" s="10" customFormat="1" x14ac:dyDescent="0.2">
      <c r="A10" s="24" t="s">
        <v>25</v>
      </c>
      <c r="B10" s="25" t="s">
        <v>26</v>
      </c>
      <c r="C10" s="26">
        <v>69700</v>
      </c>
      <c r="D10" s="26">
        <v>80000</v>
      </c>
      <c r="E10" s="26">
        <v>91300</v>
      </c>
      <c r="F10" s="16"/>
      <c r="G10" s="26">
        <v>71700</v>
      </c>
      <c r="H10" s="26">
        <v>82300</v>
      </c>
      <c r="I10" s="26">
        <v>94000</v>
      </c>
      <c r="J10" s="27">
        <v>8.3000000000000004E-2</v>
      </c>
      <c r="K10" s="26">
        <v>80800</v>
      </c>
      <c r="L10" s="26">
        <f t="shared" si="0"/>
        <v>86640</v>
      </c>
      <c r="M10" s="9">
        <f t="shared" si="1"/>
        <v>1.01</v>
      </c>
      <c r="N10" s="11">
        <f t="shared" si="2"/>
        <v>0.98177399756986639</v>
      </c>
    </row>
    <row r="11" spans="1:14" s="10" customFormat="1" x14ac:dyDescent="0.2">
      <c r="A11" s="24" t="s">
        <v>27</v>
      </c>
      <c r="B11" s="25" t="s">
        <v>28</v>
      </c>
      <c r="C11" s="26">
        <v>117100</v>
      </c>
      <c r="D11" s="26">
        <v>130000</v>
      </c>
      <c r="E11" s="26">
        <v>143700</v>
      </c>
      <c r="F11" s="16"/>
      <c r="G11" s="26">
        <v>120400</v>
      </c>
      <c r="H11" s="26">
        <v>133600</v>
      </c>
      <c r="I11" s="26">
        <v>147700</v>
      </c>
      <c r="J11" s="27">
        <v>0.15</v>
      </c>
      <c r="K11" s="26">
        <v>130800</v>
      </c>
      <c r="L11" s="26">
        <f t="shared" si="0"/>
        <v>149500</v>
      </c>
      <c r="M11" s="9">
        <f t="shared" si="1"/>
        <v>1.0061538461538462</v>
      </c>
      <c r="N11" s="11">
        <f t="shared" si="2"/>
        <v>0.97904191616766467</v>
      </c>
    </row>
    <row r="12" spans="1:14" s="10" customFormat="1" x14ac:dyDescent="0.2">
      <c r="A12" s="24" t="s">
        <v>29</v>
      </c>
      <c r="B12" s="25" t="s">
        <v>30</v>
      </c>
      <c r="C12" s="26">
        <v>71300</v>
      </c>
      <c r="D12" s="26">
        <v>79700</v>
      </c>
      <c r="E12" s="26">
        <v>90000</v>
      </c>
      <c r="F12" s="16"/>
      <c r="G12" s="26">
        <v>73100</v>
      </c>
      <c r="H12" s="26">
        <v>81800</v>
      </c>
      <c r="I12" s="26">
        <v>92300</v>
      </c>
      <c r="J12" s="27">
        <v>8.7999999999999995E-2</v>
      </c>
      <c r="K12" s="26">
        <v>81000</v>
      </c>
      <c r="L12" s="26">
        <f t="shared" si="0"/>
        <v>86713.600000000006</v>
      </c>
      <c r="M12" s="9">
        <f t="shared" si="1"/>
        <v>1.0163111668757843</v>
      </c>
      <c r="N12" s="11">
        <f t="shared" si="2"/>
        <v>0.99022004889975546</v>
      </c>
    </row>
    <row r="13" spans="1:14" s="10" customFormat="1" x14ac:dyDescent="0.2">
      <c r="A13" s="24" t="s">
        <v>31</v>
      </c>
      <c r="B13" s="25" t="s">
        <v>32</v>
      </c>
      <c r="C13" s="26">
        <v>89500</v>
      </c>
      <c r="D13" s="26">
        <v>99700</v>
      </c>
      <c r="E13" s="26">
        <v>111000</v>
      </c>
      <c r="F13" s="16"/>
      <c r="G13" s="26">
        <v>91500</v>
      </c>
      <c r="H13" s="26">
        <v>102000</v>
      </c>
      <c r="I13" s="26">
        <v>113500</v>
      </c>
      <c r="J13" s="27">
        <v>0.1</v>
      </c>
      <c r="K13" s="26">
        <v>100600</v>
      </c>
      <c r="L13" s="26">
        <f t="shared" si="0"/>
        <v>109670.00000000001</v>
      </c>
      <c r="M13" s="9">
        <f t="shared" si="1"/>
        <v>1.0090270812437312</v>
      </c>
      <c r="N13" s="11">
        <f t="shared" si="2"/>
        <v>0.98627450980392162</v>
      </c>
    </row>
    <row r="14" spans="1:14" s="10" customFormat="1" x14ac:dyDescent="0.2">
      <c r="A14" s="24" t="s">
        <v>33</v>
      </c>
      <c r="B14" s="25" t="s">
        <v>34</v>
      </c>
      <c r="C14" s="26">
        <v>110100</v>
      </c>
      <c r="D14" s="26">
        <v>120100</v>
      </c>
      <c r="E14" s="26">
        <v>130500</v>
      </c>
      <c r="F14" s="16"/>
      <c r="G14" s="26">
        <v>112300</v>
      </c>
      <c r="H14" s="26">
        <v>122500</v>
      </c>
      <c r="I14" s="26">
        <v>133100</v>
      </c>
      <c r="J14" s="27">
        <v>0.1</v>
      </c>
      <c r="K14" s="26">
        <v>120400</v>
      </c>
      <c r="L14" s="26">
        <f t="shared" si="0"/>
        <v>132110</v>
      </c>
      <c r="M14" s="9">
        <f t="shared" si="1"/>
        <v>1.0024979184013323</v>
      </c>
      <c r="N14" s="11">
        <f t="shared" si="2"/>
        <v>0.98285714285714287</v>
      </c>
    </row>
    <row r="15" spans="1:14" s="10" customFormat="1" x14ac:dyDescent="0.2">
      <c r="A15" s="24" t="s">
        <v>35</v>
      </c>
      <c r="B15" s="25" t="s">
        <v>36</v>
      </c>
      <c r="C15" s="26">
        <v>72400</v>
      </c>
      <c r="D15" s="26">
        <v>82600</v>
      </c>
      <c r="E15" s="26">
        <v>95100</v>
      </c>
      <c r="F15" s="16"/>
      <c r="G15" s="26">
        <v>74500</v>
      </c>
      <c r="H15" s="26">
        <v>85000</v>
      </c>
      <c r="I15" s="26">
        <v>97900</v>
      </c>
      <c r="J15" s="27">
        <v>0.1</v>
      </c>
      <c r="K15" s="26">
        <v>83800</v>
      </c>
      <c r="L15" s="26">
        <f t="shared" si="0"/>
        <v>90860.000000000015</v>
      </c>
      <c r="M15" s="9">
        <f t="shared" si="1"/>
        <v>1.0145278450363195</v>
      </c>
      <c r="N15" s="11">
        <f t="shared" si="2"/>
        <v>0.98588235294117643</v>
      </c>
    </row>
    <row r="16" spans="1:14" s="10" customFormat="1" x14ac:dyDescent="0.2">
      <c r="A16" s="24" t="s">
        <v>37</v>
      </c>
      <c r="B16" s="25" t="s">
        <v>38</v>
      </c>
      <c r="C16" s="26">
        <v>77000</v>
      </c>
      <c r="D16" s="26">
        <v>85700</v>
      </c>
      <c r="E16" s="26">
        <v>94900</v>
      </c>
      <c r="F16" s="16"/>
      <c r="G16" s="26">
        <v>79100</v>
      </c>
      <c r="H16" s="26">
        <v>88100</v>
      </c>
      <c r="I16" s="26">
        <v>97600</v>
      </c>
      <c r="J16" s="27">
        <v>6.5000000000000002E-2</v>
      </c>
      <c r="K16" s="26">
        <v>86600</v>
      </c>
      <c r="L16" s="26">
        <f t="shared" si="0"/>
        <v>91270.5</v>
      </c>
      <c r="M16" s="9">
        <f t="shared" si="1"/>
        <v>1.0105017502917153</v>
      </c>
      <c r="N16" s="11">
        <f t="shared" si="2"/>
        <v>0.98297389330306473</v>
      </c>
    </row>
    <row r="17" spans="1:14" s="10" customFormat="1" x14ac:dyDescent="0.2">
      <c r="A17" s="24" t="s">
        <v>39</v>
      </c>
      <c r="B17" s="25" t="s">
        <v>40</v>
      </c>
      <c r="C17" s="26">
        <v>114300</v>
      </c>
      <c r="D17" s="26">
        <v>127400</v>
      </c>
      <c r="E17" s="26">
        <v>140200</v>
      </c>
      <c r="F17" s="16"/>
      <c r="G17" s="26">
        <v>117700</v>
      </c>
      <c r="H17" s="26">
        <v>131100</v>
      </c>
      <c r="I17" s="26">
        <v>144300</v>
      </c>
      <c r="J17" s="27">
        <v>0.1</v>
      </c>
      <c r="K17" s="26">
        <v>127600</v>
      </c>
      <c r="L17" s="26">
        <f t="shared" si="0"/>
        <v>140140</v>
      </c>
      <c r="M17" s="9">
        <f t="shared" si="1"/>
        <v>1.0015698587127158</v>
      </c>
      <c r="N17" s="11">
        <f t="shared" si="2"/>
        <v>0.97330282227307396</v>
      </c>
    </row>
    <row r="18" spans="1:14" s="10" customFormat="1" x14ac:dyDescent="0.2">
      <c r="A18" s="24" t="s">
        <v>41</v>
      </c>
      <c r="B18" s="25" t="s">
        <v>42</v>
      </c>
      <c r="C18" s="26">
        <v>102600</v>
      </c>
      <c r="D18" s="26">
        <v>112400</v>
      </c>
      <c r="E18" s="26">
        <v>122500</v>
      </c>
      <c r="F18" s="16"/>
      <c r="G18" s="26">
        <v>105400</v>
      </c>
      <c r="H18" s="26">
        <v>115500</v>
      </c>
      <c r="I18" s="26">
        <v>125900</v>
      </c>
      <c r="J18" s="27">
        <v>0.1</v>
      </c>
      <c r="K18" s="26">
        <v>112800</v>
      </c>
      <c r="L18" s="26">
        <f t="shared" si="0"/>
        <v>123640.00000000001</v>
      </c>
      <c r="M18" s="9">
        <f t="shared" si="1"/>
        <v>1.0035587188612101</v>
      </c>
      <c r="N18" s="11">
        <f t="shared" si="2"/>
        <v>0.97662337662337662</v>
      </c>
    </row>
    <row r="19" spans="1:14" s="10" customFormat="1" x14ac:dyDescent="0.2">
      <c r="A19" s="24" t="s">
        <v>43</v>
      </c>
      <c r="B19" s="25" t="s">
        <v>43</v>
      </c>
      <c r="C19" s="26">
        <v>142600</v>
      </c>
      <c r="D19" s="26">
        <v>156200</v>
      </c>
      <c r="E19" s="26">
        <v>171700</v>
      </c>
      <c r="F19" s="16"/>
      <c r="G19" s="26">
        <v>146600</v>
      </c>
      <c r="H19" s="26">
        <v>160500</v>
      </c>
      <c r="I19" s="26">
        <v>176400</v>
      </c>
      <c r="J19" s="27">
        <v>0.15</v>
      </c>
      <c r="K19" s="26">
        <v>158000</v>
      </c>
      <c r="L19" s="26">
        <f t="shared" si="0"/>
        <v>179630</v>
      </c>
      <c r="M19" s="9">
        <f t="shared" si="1"/>
        <v>1.0115236875800255</v>
      </c>
      <c r="N19" s="11">
        <f t="shared" si="2"/>
        <v>0.98442367601246106</v>
      </c>
    </row>
    <row r="20" spans="1:14" s="10" customFormat="1" x14ac:dyDescent="0.2">
      <c r="A20" s="24" t="s">
        <v>44</v>
      </c>
      <c r="B20" s="25" t="s">
        <v>45</v>
      </c>
      <c r="C20" s="26">
        <v>128600</v>
      </c>
      <c r="D20" s="26">
        <v>138600</v>
      </c>
      <c r="E20" s="26">
        <v>149600</v>
      </c>
      <c r="F20" s="16"/>
      <c r="G20" s="26">
        <v>132200</v>
      </c>
      <c r="H20" s="26">
        <v>142500</v>
      </c>
      <c r="I20" s="26">
        <v>153700</v>
      </c>
      <c r="J20" s="27">
        <v>0.129</v>
      </c>
      <c r="K20" s="26">
        <v>139300</v>
      </c>
      <c r="L20" s="26">
        <f t="shared" si="0"/>
        <v>156479.4</v>
      </c>
      <c r="M20" s="9">
        <f t="shared" si="1"/>
        <v>1.005050505050505</v>
      </c>
      <c r="N20" s="11">
        <f t="shared" si="2"/>
        <v>0.97754385964912283</v>
      </c>
    </row>
    <row r="21" spans="1:14" s="10" customFormat="1" x14ac:dyDescent="0.2">
      <c r="A21" s="24" t="s">
        <v>46</v>
      </c>
      <c r="B21" s="25" t="s">
        <v>47</v>
      </c>
      <c r="C21" s="26">
        <v>96500</v>
      </c>
      <c r="D21" s="26">
        <v>113000</v>
      </c>
      <c r="E21" s="26">
        <v>133000</v>
      </c>
      <c r="F21" s="16"/>
      <c r="G21" s="26">
        <v>99200</v>
      </c>
      <c r="H21" s="26">
        <v>116200</v>
      </c>
      <c r="I21" s="26">
        <v>136700</v>
      </c>
      <c r="J21" s="27">
        <v>0.14199999999999999</v>
      </c>
      <c r="K21" s="26">
        <v>115600</v>
      </c>
      <c r="L21" s="26">
        <f t="shared" si="0"/>
        <v>129045.99999999999</v>
      </c>
      <c r="M21" s="9">
        <f t="shared" si="1"/>
        <v>1.023008849557522</v>
      </c>
      <c r="N21" s="11">
        <f t="shared" si="2"/>
        <v>0.99483648881239239</v>
      </c>
    </row>
    <row r="22" spans="1:14" x14ac:dyDescent="0.2">
      <c r="A22" s="28" t="s">
        <v>48</v>
      </c>
      <c r="B22" s="13" t="s">
        <v>49</v>
      </c>
      <c r="C22" s="15">
        <v>121100</v>
      </c>
      <c r="D22" s="15">
        <v>133700</v>
      </c>
      <c r="E22" s="15">
        <v>146900</v>
      </c>
      <c r="F22" s="29"/>
      <c r="G22" s="15">
        <v>124200</v>
      </c>
      <c r="H22" s="15">
        <v>137100</v>
      </c>
      <c r="I22" s="15">
        <v>150700</v>
      </c>
      <c r="J22" s="14">
        <v>8.7999999999999995E-2</v>
      </c>
      <c r="K22" s="15">
        <v>130000</v>
      </c>
      <c r="L22" s="26">
        <f t="shared" si="0"/>
        <v>145465.60000000001</v>
      </c>
      <c r="M22" s="9">
        <f t="shared" ref="M22" si="3">K22/D22</f>
        <v>0.97232610321615554</v>
      </c>
      <c r="N22" s="11">
        <f t="shared" ref="N22" si="4">K22/H22</f>
        <v>0.94821298322392411</v>
      </c>
    </row>
    <row r="23" spans="1:14" x14ac:dyDescent="0.2">
      <c r="A23" s="28" t="s">
        <v>50</v>
      </c>
      <c r="B23" s="13" t="s">
        <v>51</v>
      </c>
      <c r="C23" s="15">
        <v>89300</v>
      </c>
      <c r="D23" s="15">
        <v>101700</v>
      </c>
      <c r="E23" s="15">
        <v>115600</v>
      </c>
      <c r="F23" s="29"/>
      <c r="G23" s="15">
        <v>91900</v>
      </c>
      <c r="H23" s="15">
        <v>104600</v>
      </c>
      <c r="I23" s="15">
        <v>118900</v>
      </c>
      <c r="J23" s="14">
        <v>0.1</v>
      </c>
      <c r="K23" s="15">
        <v>100000</v>
      </c>
      <c r="L23" s="26">
        <f>(D23*(J23+1))</f>
        <v>111870.00000000001</v>
      </c>
      <c r="M23" s="9">
        <f t="shared" si="1"/>
        <v>0.98328416912487704</v>
      </c>
      <c r="N23" s="11">
        <f t="shared" si="2"/>
        <v>0.95602294455066916</v>
      </c>
    </row>
    <row r="24" spans="1:14" x14ac:dyDescent="0.2">
      <c r="A24" s="28" t="s">
        <v>52</v>
      </c>
      <c r="B24" s="13" t="s">
        <v>53</v>
      </c>
      <c r="C24" s="15">
        <v>56900</v>
      </c>
      <c r="D24" s="15">
        <v>64900</v>
      </c>
      <c r="E24" s="15">
        <v>73100</v>
      </c>
      <c r="F24" s="29"/>
      <c r="G24" s="15">
        <v>58500</v>
      </c>
      <c r="H24" s="15">
        <v>66700</v>
      </c>
      <c r="I24" s="15">
        <v>75200</v>
      </c>
      <c r="J24" s="14">
        <v>4.2000000000000003E-2</v>
      </c>
      <c r="K24" s="15">
        <v>62000</v>
      </c>
      <c r="L24" s="26">
        <f>(D24*(J24+1))</f>
        <v>67625.8</v>
      </c>
      <c r="M24" s="9">
        <f t="shared" si="1"/>
        <v>0.95531587057010781</v>
      </c>
      <c r="N24" s="11">
        <f t="shared" si="2"/>
        <v>0.92953523238380809</v>
      </c>
    </row>
    <row r="25" spans="1:14" x14ac:dyDescent="0.2">
      <c r="A25" s="28" t="s">
        <v>54</v>
      </c>
      <c r="B25" s="13" t="s">
        <v>55</v>
      </c>
      <c r="C25" s="15">
        <v>137400</v>
      </c>
      <c r="D25" s="15">
        <v>153600</v>
      </c>
      <c r="E25" s="15">
        <v>170800</v>
      </c>
      <c r="F25" s="29"/>
      <c r="G25" s="15">
        <v>139000</v>
      </c>
      <c r="H25" s="15">
        <v>155300</v>
      </c>
      <c r="I25" s="15">
        <v>172800</v>
      </c>
      <c r="J25" s="14">
        <v>0.18</v>
      </c>
      <c r="K25" s="15">
        <v>150000</v>
      </c>
      <c r="L25" s="26">
        <f>(D25*(J25+1))</f>
        <v>181248</v>
      </c>
      <c r="M25" s="9">
        <f t="shared" si="1"/>
        <v>0.9765625</v>
      </c>
      <c r="N25" s="11">
        <f t="shared" si="2"/>
        <v>0.96587250482936249</v>
      </c>
    </row>
    <row r="26" spans="1:14" x14ac:dyDescent="0.2">
      <c r="A26" s="12" t="s">
        <v>56</v>
      </c>
      <c r="B26" s="13" t="s">
        <v>57</v>
      </c>
      <c r="C26" s="15">
        <v>61400</v>
      </c>
      <c r="D26" s="15">
        <v>68000</v>
      </c>
      <c r="E26" s="15">
        <v>75800</v>
      </c>
      <c r="F26" s="30"/>
      <c r="G26" s="15">
        <v>63300</v>
      </c>
      <c r="H26" s="15">
        <v>70000</v>
      </c>
      <c r="I26" s="15">
        <v>78100</v>
      </c>
      <c r="J26" s="14">
        <v>5.6000000000000001E-2</v>
      </c>
      <c r="K26" s="15">
        <v>70000</v>
      </c>
      <c r="L26" s="15">
        <f>D26*(J26+1)</f>
        <v>71808</v>
      </c>
      <c r="M26" s="9">
        <f>K26/D26</f>
        <v>1.0294117647058822</v>
      </c>
      <c r="N26" s="11">
        <f>K26/H26</f>
        <v>1</v>
      </c>
    </row>
    <row r="27" spans="1:14" x14ac:dyDescent="0.2">
      <c r="A27" s="12" t="s">
        <v>58</v>
      </c>
      <c r="B27" s="13" t="s">
        <v>59</v>
      </c>
      <c r="C27" s="15">
        <v>102000</v>
      </c>
      <c r="D27" s="15">
        <v>114500</v>
      </c>
      <c r="E27" s="15">
        <v>127000</v>
      </c>
      <c r="F27" s="16"/>
      <c r="G27" s="15">
        <v>104800</v>
      </c>
      <c r="H27" s="15">
        <v>117600</v>
      </c>
      <c r="I27" s="15">
        <v>130400</v>
      </c>
      <c r="J27" s="14">
        <v>0.1</v>
      </c>
      <c r="K27" s="15">
        <v>105000</v>
      </c>
      <c r="L27" s="15">
        <f>D27*(J27+1)</f>
        <v>125950.00000000001</v>
      </c>
      <c r="M27" s="9">
        <f>K27/D27</f>
        <v>0.91703056768558955</v>
      </c>
      <c r="N27" s="11">
        <f>K27/H27</f>
        <v>0.8928571428571429</v>
      </c>
    </row>
    <row r="28" spans="1:14" x14ac:dyDescent="0.2">
      <c r="A28" s="12" t="s">
        <v>60</v>
      </c>
      <c r="B28" s="13" t="s">
        <v>61</v>
      </c>
      <c r="C28" s="15">
        <v>98300</v>
      </c>
      <c r="D28" s="15">
        <v>113900</v>
      </c>
      <c r="E28" s="15">
        <v>132100</v>
      </c>
      <c r="F28" s="16"/>
      <c r="G28" s="15">
        <v>101000</v>
      </c>
      <c r="H28" s="15">
        <v>117100</v>
      </c>
      <c r="I28" s="15">
        <v>135800</v>
      </c>
      <c r="J28" s="14">
        <v>0.13700000000000001</v>
      </c>
      <c r="K28" s="15">
        <v>115000</v>
      </c>
      <c r="L28" s="15">
        <f>D28*(J28+1)</f>
        <v>129504.3</v>
      </c>
      <c r="M28" s="9">
        <f>K28/D28</f>
        <v>1.009657594381036</v>
      </c>
      <c r="N28" s="11">
        <f>K28/H28</f>
        <v>0.98206660973526905</v>
      </c>
    </row>
    <row r="29" spans="1:14" x14ac:dyDescent="0.2">
      <c r="A29" s="21" t="s">
        <v>62</v>
      </c>
      <c r="B29" s="21" t="s">
        <v>62</v>
      </c>
      <c r="C29" s="20">
        <v>156700</v>
      </c>
      <c r="D29" s="20">
        <v>178100</v>
      </c>
      <c r="E29" s="20">
        <v>201800</v>
      </c>
      <c r="F29" s="13"/>
      <c r="G29" s="20">
        <v>154100</v>
      </c>
      <c r="H29" s="20">
        <v>175200</v>
      </c>
      <c r="I29" s="20">
        <v>198500</v>
      </c>
      <c r="J29" s="14">
        <v>0.25</v>
      </c>
      <c r="K29" s="15">
        <v>115001</v>
      </c>
      <c r="L29" s="15">
        <f t="shared" ref="L29:L40" si="5">D29*(J29+1)</f>
        <v>222625</v>
      </c>
      <c r="M29" s="9">
        <f t="shared" ref="M29:M35" si="6">K29/D29</f>
        <v>0.6457102751263335</v>
      </c>
      <c r="N29" s="11">
        <f t="shared" ref="N29:N35" si="7">K29/H29</f>
        <v>0.65639840182648401</v>
      </c>
    </row>
    <row r="30" spans="1:14" x14ac:dyDescent="0.2">
      <c r="A30" s="21" t="s">
        <v>63</v>
      </c>
      <c r="B30" s="21" t="s">
        <v>63</v>
      </c>
      <c r="C30" s="20">
        <v>107200</v>
      </c>
      <c r="D30" s="20">
        <v>121700</v>
      </c>
      <c r="E30" s="20">
        <v>138000</v>
      </c>
      <c r="F30" s="13"/>
      <c r="G30" s="20">
        <v>105700</v>
      </c>
      <c r="H30" s="20">
        <v>120000</v>
      </c>
      <c r="I30" s="20">
        <v>136100</v>
      </c>
      <c r="J30" s="14">
        <v>0.14000000000000001</v>
      </c>
      <c r="K30" s="15">
        <v>115002</v>
      </c>
      <c r="L30" s="15">
        <f t="shared" si="5"/>
        <v>138738.00000000003</v>
      </c>
      <c r="M30" s="9">
        <f t="shared" si="6"/>
        <v>0.94496302382908792</v>
      </c>
      <c r="N30" s="11">
        <f t="shared" si="7"/>
        <v>0.95835000000000004</v>
      </c>
    </row>
    <row r="31" spans="1:14" x14ac:dyDescent="0.2">
      <c r="A31" s="21" t="s">
        <v>64</v>
      </c>
      <c r="B31" s="21" t="s">
        <v>64</v>
      </c>
      <c r="C31" s="20">
        <v>63600</v>
      </c>
      <c r="D31" s="20">
        <v>70200</v>
      </c>
      <c r="E31" s="20">
        <v>77700</v>
      </c>
      <c r="F31" s="13"/>
      <c r="G31" s="20">
        <v>63600</v>
      </c>
      <c r="H31" s="20">
        <v>70200</v>
      </c>
      <c r="I31" s="20">
        <v>77700</v>
      </c>
      <c r="J31" s="14">
        <v>3.7999999999999999E-2</v>
      </c>
      <c r="K31" s="15">
        <v>115003</v>
      </c>
      <c r="L31" s="15">
        <f t="shared" si="5"/>
        <v>72867.600000000006</v>
      </c>
      <c r="M31" s="9">
        <f t="shared" si="6"/>
        <v>1.6382193732193733</v>
      </c>
      <c r="N31" s="11">
        <f t="shared" si="7"/>
        <v>1.6382193732193733</v>
      </c>
    </row>
    <row r="32" spans="1:14" x14ac:dyDescent="0.2">
      <c r="A32" s="21" t="s">
        <v>65</v>
      </c>
      <c r="B32" s="21" t="s">
        <v>65</v>
      </c>
      <c r="C32" s="20">
        <v>77800</v>
      </c>
      <c r="D32" s="20">
        <v>86000</v>
      </c>
      <c r="E32" s="20">
        <v>95800</v>
      </c>
      <c r="F32" s="13"/>
      <c r="G32" s="20">
        <v>77800</v>
      </c>
      <c r="H32" s="20">
        <v>86000</v>
      </c>
      <c r="I32" s="20">
        <v>95900</v>
      </c>
      <c r="J32" s="14">
        <v>5.8999999999999997E-2</v>
      </c>
      <c r="K32" s="15">
        <v>115004</v>
      </c>
      <c r="L32" s="15">
        <f t="shared" si="5"/>
        <v>91074</v>
      </c>
      <c r="M32" s="9">
        <f t="shared" si="6"/>
        <v>1.3372558139534885</v>
      </c>
      <c r="N32" s="11">
        <f t="shared" si="7"/>
        <v>1.3372558139534885</v>
      </c>
    </row>
    <row r="33" spans="1:14" x14ac:dyDescent="0.2">
      <c r="A33" s="21" t="s">
        <v>66</v>
      </c>
      <c r="B33" s="21" t="s">
        <v>66</v>
      </c>
      <c r="C33" s="20">
        <v>94300</v>
      </c>
      <c r="D33" s="20">
        <v>104500</v>
      </c>
      <c r="E33" s="20">
        <v>116600</v>
      </c>
      <c r="F33" s="13"/>
      <c r="G33" s="20">
        <v>94500</v>
      </c>
      <c r="H33" s="20">
        <v>104700</v>
      </c>
      <c r="I33" s="20">
        <v>116800</v>
      </c>
      <c r="J33" s="14">
        <v>7.1999999999999995E-2</v>
      </c>
      <c r="K33" s="15">
        <v>115005</v>
      </c>
      <c r="L33" s="15">
        <f t="shared" si="5"/>
        <v>112024</v>
      </c>
      <c r="M33" s="9">
        <f t="shared" si="6"/>
        <v>1.1005263157894736</v>
      </c>
      <c r="N33" s="11">
        <f t="shared" si="7"/>
        <v>1.0984240687679083</v>
      </c>
    </row>
    <row r="34" spans="1:14" x14ac:dyDescent="0.2">
      <c r="A34" s="21" t="s">
        <v>67</v>
      </c>
      <c r="B34" s="21" t="s">
        <v>67</v>
      </c>
      <c r="C34" s="20">
        <v>115700</v>
      </c>
      <c r="D34" s="20">
        <v>128000</v>
      </c>
      <c r="E34" s="20">
        <v>141200</v>
      </c>
      <c r="F34" s="13"/>
      <c r="G34" s="20">
        <v>115800</v>
      </c>
      <c r="H34" s="20">
        <v>128200</v>
      </c>
      <c r="I34" s="20">
        <v>141300</v>
      </c>
      <c r="J34" s="14">
        <v>0.124</v>
      </c>
      <c r="K34" s="15">
        <v>115006</v>
      </c>
      <c r="L34" s="15">
        <f t="shared" si="5"/>
        <v>143872</v>
      </c>
      <c r="M34" s="9">
        <f t="shared" si="6"/>
        <v>0.898484375</v>
      </c>
      <c r="N34" s="11">
        <f t="shared" si="7"/>
        <v>0.89708268330733232</v>
      </c>
    </row>
    <row r="35" spans="1:14" x14ac:dyDescent="0.2">
      <c r="A35" s="21" t="s">
        <v>68</v>
      </c>
      <c r="B35" s="21" t="s">
        <v>68</v>
      </c>
      <c r="C35" s="20">
        <v>141000</v>
      </c>
      <c r="D35" s="20">
        <v>158000</v>
      </c>
      <c r="E35" s="20">
        <v>177100</v>
      </c>
      <c r="F35" s="13"/>
      <c r="G35" s="20">
        <v>140600</v>
      </c>
      <c r="H35" s="20">
        <v>157500</v>
      </c>
      <c r="I35" s="20">
        <v>176600</v>
      </c>
      <c r="J35" s="14">
        <v>0.15</v>
      </c>
      <c r="K35" s="15">
        <v>115007</v>
      </c>
      <c r="L35" s="15">
        <f t="shared" si="5"/>
        <v>181700</v>
      </c>
      <c r="M35" s="9">
        <f t="shared" si="6"/>
        <v>0.72789240506329111</v>
      </c>
      <c r="N35" s="11">
        <f t="shared" si="7"/>
        <v>0.73020317460317463</v>
      </c>
    </row>
    <row r="36" spans="1:14" x14ac:dyDescent="0.2">
      <c r="A36" s="22" t="s">
        <v>69</v>
      </c>
      <c r="B36" s="22" t="s">
        <v>69</v>
      </c>
      <c r="C36" s="20">
        <v>291900</v>
      </c>
      <c r="D36" s="20">
        <v>388900</v>
      </c>
      <c r="E36" s="20">
        <v>497100</v>
      </c>
      <c r="F36" s="13"/>
      <c r="G36" s="20">
        <v>344600</v>
      </c>
      <c r="H36" s="20">
        <v>459100</v>
      </c>
      <c r="I36" s="20">
        <v>586800</v>
      </c>
      <c r="J36" s="23">
        <v>1</v>
      </c>
      <c r="K36" s="15">
        <v>512000</v>
      </c>
      <c r="L36" s="15">
        <f t="shared" si="5"/>
        <v>777800</v>
      </c>
      <c r="M36" s="9">
        <f t="shared" ref="M36:M40" si="8">K36/D36</f>
        <v>1.3165338133196194</v>
      </c>
      <c r="N36" s="11">
        <f t="shared" ref="N36:N40" si="9">K36/H36</f>
        <v>1.1152254410803746</v>
      </c>
    </row>
    <row r="37" spans="1:14" x14ac:dyDescent="0.2">
      <c r="A37" s="22" t="s">
        <v>70</v>
      </c>
      <c r="B37" s="22" t="s">
        <v>70</v>
      </c>
      <c r="C37" s="20">
        <v>246500</v>
      </c>
      <c r="D37" s="20">
        <v>316800</v>
      </c>
      <c r="E37" s="20">
        <v>411200</v>
      </c>
      <c r="F37" s="13"/>
      <c r="G37" s="20">
        <v>302700</v>
      </c>
      <c r="H37" s="20">
        <v>389200</v>
      </c>
      <c r="I37" s="20">
        <v>505100</v>
      </c>
      <c r="J37" s="23">
        <v>0.65</v>
      </c>
      <c r="K37" s="15">
        <v>310000</v>
      </c>
      <c r="L37" s="15">
        <f t="shared" si="5"/>
        <v>522720</v>
      </c>
      <c r="M37" s="9">
        <f t="shared" si="8"/>
        <v>0.97853535353535348</v>
      </c>
      <c r="N37" s="11">
        <f t="shared" si="9"/>
        <v>0.79650565262076056</v>
      </c>
    </row>
    <row r="38" spans="1:14" x14ac:dyDescent="0.2">
      <c r="A38" s="22" t="s">
        <v>71</v>
      </c>
      <c r="B38" s="22" t="s">
        <v>71</v>
      </c>
      <c r="C38" s="20">
        <v>294500</v>
      </c>
      <c r="D38" s="20">
        <v>346300</v>
      </c>
      <c r="E38" s="20">
        <v>435100</v>
      </c>
      <c r="F38" s="13"/>
      <c r="G38" s="20">
        <v>294600</v>
      </c>
      <c r="H38" s="20">
        <v>346400</v>
      </c>
      <c r="I38" s="20">
        <v>435300</v>
      </c>
      <c r="J38" s="23">
        <v>0.5</v>
      </c>
      <c r="K38" s="15">
        <v>318000</v>
      </c>
      <c r="L38" s="15">
        <f t="shared" si="5"/>
        <v>519450</v>
      </c>
      <c r="M38" s="9">
        <f t="shared" si="8"/>
        <v>0.91827894888824724</v>
      </c>
      <c r="N38" s="11">
        <f t="shared" si="9"/>
        <v>0.91801385681293302</v>
      </c>
    </row>
    <row r="39" spans="1:14" x14ac:dyDescent="0.2">
      <c r="A39" s="22" t="s">
        <v>72</v>
      </c>
      <c r="B39" s="22" t="s">
        <v>72</v>
      </c>
      <c r="C39" s="20">
        <v>278000</v>
      </c>
      <c r="D39" s="20">
        <v>318500</v>
      </c>
      <c r="E39" s="20">
        <v>370000</v>
      </c>
      <c r="F39" s="13"/>
      <c r="G39" s="20">
        <v>266500</v>
      </c>
      <c r="H39" s="20">
        <v>305400</v>
      </c>
      <c r="I39" s="20">
        <v>354800</v>
      </c>
      <c r="J39" s="23">
        <v>0.4</v>
      </c>
      <c r="K39" s="15">
        <v>289000</v>
      </c>
      <c r="L39" s="15">
        <f t="shared" si="5"/>
        <v>445900</v>
      </c>
      <c r="M39" s="9">
        <f t="shared" si="8"/>
        <v>0.90737833594976447</v>
      </c>
      <c r="N39" s="11">
        <f t="shared" si="9"/>
        <v>0.94629993451211525</v>
      </c>
    </row>
    <row r="40" spans="1:14" x14ac:dyDescent="0.2">
      <c r="A40" s="22" t="s">
        <v>73</v>
      </c>
      <c r="B40" s="22" t="s">
        <v>73</v>
      </c>
      <c r="C40" s="20">
        <v>236100</v>
      </c>
      <c r="D40" s="20">
        <v>302000</v>
      </c>
      <c r="E40" s="20">
        <v>382900</v>
      </c>
      <c r="F40" s="13"/>
      <c r="G40" s="20">
        <v>237100</v>
      </c>
      <c r="H40" s="20">
        <v>303200</v>
      </c>
      <c r="I40" s="20">
        <v>384500</v>
      </c>
      <c r="J40" s="23">
        <v>0.3</v>
      </c>
      <c r="K40" s="15">
        <v>299000</v>
      </c>
      <c r="L40" s="15">
        <f t="shared" si="5"/>
        <v>392600</v>
      </c>
      <c r="M40" s="9">
        <f t="shared" si="8"/>
        <v>0.99006622516556286</v>
      </c>
      <c r="N40" s="11">
        <f t="shared" si="9"/>
        <v>0.98614775725593673</v>
      </c>
    </row>
  </sheetData>
  <mergeCells count="4">
    <mergeCell ref="C1:E1"/>
    <mergeCell ref="G1:I1"/>
    <mergeCell ref="M1:N1"/>
    <mergeCell ref="A2:N2"/>
  </mergeCells>
  <phoneticPr fontId="10" type="noConversion"/>
  <conditionalFormatting sqref="M4:N25">
    <cfRule type="cellIs" dxfId="5" priority="4" operator="lessThan">
      <formula>0.8</formula>
    </cfRule>
    <cfRule type="cellIs" dxfId="4" priority="5" operator="greaterThan">
      <formula>1.2</formula>
    </cfRule>
    <cfRule type="cellIs" dxfId="3" priority="6" operator="between">
      <formula>0.79</formula>
      <formula>1.21</formula>
    </cfRule>
  </conditionalFormatting>
  <conditionalFormatting sqref="M26:N40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0.79</formula>
      <formula>1.21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Beyond Reach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Stuart Reeves</dc:creator>
  <cp:keywords/>
  <dc:description/>
  <cp:lastModifiedBy>Stuart Reeves</cp:lastModifiedBy>
  <cp:revision/>
  <dcterms:created xsi:type="dcterms:W3CDTF">2026-04-27T21:55:42Z</dcterms:created>
  <dcterms:modified xsi:type="dcterms:W3CDTF">2026-08-31T19:32:21Z</dcterms:modified>
  <cp:category/>
  <cp:contentStatus/>
</cp:coreProperties>
</file>